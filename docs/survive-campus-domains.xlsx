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main buy list" state="visible" r:id="rId4"/>
    <sheet sheetId="2" name="State clusters" state="visible" r:id="rId5"/>
  </sheets>
  <calcPr calcId="171027"/>
</workbook>
</file>

<file path=xl/sharedStrings.xml><?xml version="1.0" encoding="utf-8"?>
<sst xmlns="http://schemas.openxmlformats.org/spreadsheetml/2006/main" count="289" uniqueCount="182">
  <si>
    <t>Survive — campus domains, in the order I would buy them</t>
  </si>
  <si>
    <t>Availability checked against the .com registry (Verisign RDAP) on 2026-09-04. Every row below said AVAILABLE except where the notes say otherwise.</t>
  </si>
  <si>
    <t>FILL IN THE YELLOW COLUMNS: "Buy?" (yes / no) and "Cost ($/yr)". Cost is pre-filled at about $11, a .com at Cloudflare or Porkbun — change it if your registrar differs.</t>
  </si>
  <si>
    <t>Priority</t>
  </si>
  <si>
    <t>Tier</t>
  </si>
  <si>
    <t>Campus</t>
  </si>
  <si>
    <t>Course code</t>
  </si>
  <si>
    <t>Domain</t>
  </si>
  <si>
    <t>Registry status (2026-09-04)</t>
  </si>
  <si>
    <t>Redirect target</t>
  </si>
  <si>
    <t>Buy?</t>
  </si>
  <si>
    <t>Cost ($/yr)</t>
  </si>
  <si>
    <t>Notes</t>
  </si>
  <si>
    <t>—</t>
  </si>
  <si>
    <t>1 — buy now</t>
  </si>
  <si>
    <t>EXAMPLE — delete this row</t>
  </si>
  <si>
    <t>ACCY 201</t>
  </si>
  <si>
    <t>example.com</t>
  </si>
  <si>
    <t>available</t>
  </si>
  <si>
    <t>/go/example</t>
  </si>
  <si>
    <t>yes</t>
  </si>
  <si>
    <t>Fill Buy? and Cost like this.</t>
  </si>
  <si>
    <t>Ole Miss</t>
  </si>
  <si>
    <t>surviveolemiss.com</t>
  </si>
  <si>
    <t>/go/ole-miss</t>
  </si>
  <si>
    <t/>
  </si>
  <si>
    <t>Home campus, most traction. ACCY 201 is shared with Illinois — which is why the domain is the campus name, not the code.</t>
  </si>
  <si>
    <t>LSU</t>
  </si>
  <si>
    <t>ACCT 2001</t>
  </si>
  <si>
    <t>survivelsu.com</t>
  </si>
  <si>
    <t>/go/lsu</t>
  </si>
  <si>
    <t>Fall push.</t>
  </si>
  <si>
    <t>Tennessee</t>
  </si>
  <si>
    <t>ACCT 200</t>
  </si>
  <si>
    <t>survivetennessee.com</t>
  </si>
  <si>
    <t>/go/tennessee</t>
  </si>
  <si>
    <t>Fall push. surviveutk.com is also available if you prefer the initials.</t>
  </si>
  <si>
    <t>Florida (blanket)</t>
  </si>
  <si>
    <t>ACG 2021</t>
  </si>
  <si>
    <t>surviveflorida.com</t>
  </si>
  <si>
    <t>/go/florida</t>
  </si>
  <si>
    <t>The blanket: 7 of the 8 Florida campuses in the picker share ACG 2021, so one domain can front the whole cluster.</t>
  </si>
  <si>
    <t>2 — Florida cluster</t>
  </si>
  <si>
    <t>Florida (UF)</t>
  </si>
  <si>
    <t>surviveuf.com</t>
  </si>
  <si>
    <t>Only if the blanket does not carry.</t>
  </si>
  <si>
    <t>Florida State</t>
  </si>
  <si>
    <t>survivefsu.com</t>
  </si>
  <si>
    <t>/go/florida-state</t>
  </si>
  <si>
    <t>UCF</t>
  </si>
  <si>
    <t>surviveucf.com</t>
  </si>
  <si>
    <t>/go/ucf</t>
  </si>
  <si>
    <t>South Florida</t>
  </si>
  <si>
    <t>surviveusf.com</t>
  </si>
  <si>
    <t>/go/university-of-south-florida</t>
  </si>
  <si>
    <t>FIU</t>
  </si>
  <si>
    <t>survivefiu.com</t>
  </si>
  <si>
    <t>/go/florida-international-university</t>
  </si>
  <si>
    <t>FAU</t>
  </si>
  <si>
    <t>survivefau.com</t>
  </si>
  <si>
    <t>/go/florida-atlantic-university</t>
  </si>
  <si>
    <t>Florida Gulf Coast</t>
  </si>
  <si>
    <t>survivefgcu.com</t>
  </si>
  <si>
    <t>/go/florida-gulf-coast-university</t>
  </si>
  <si>
    <t>3 — rest of the SEC</t>
  </si>
  <si>
    <t>Alabama</t>
  </si>
  <si>
    <t>AC 210</t>
  </si>
  <si>
    <t>survivealabama.com</t>
  </si>
  <si>
    <t>/go/alabama</t>
  </si>
  <si>
    <t>survivebama.com is also available.</t>
  </si>
  <si>
    <t>Auburn</t>
  </si>
  <si>
    <t>ACCT 2110</t>
  </si>
  <si>
    <t>surviveauburn.com</t>
  </si>
  <si>
    <t>/go/auburn</t>
  </si>
  <si>
    <t>Course code is unique to Auburn.</t>
  </si>
  <si>
    <t>Arkansas</t>
  </si>
  <si>
    <t>ACCT 2013</t>
  </si>
  <si>
    <t>survivearkansas.com</t>
  </si>
  <si>
    <t>/go/arkansas</t>
  </si>
  <si>
    <t>Course code is unique to Arkansas.</t>
  </si>
  <si>
    <t>Georgia</t>
  </si>
  <si>
    <t>ACCT 2101</t>
  </si>
  <si>
    <t>surviveuga.com</t>
  </si>
  <si>
    <t>/go/georgia</t>
  </si>
  <si>
    <t>survivegeorgia.com is REGISTERED to someone else — the initials are the way in.</t>
  </si>
  <si>
    <t>Kentucky</t>
  </si>
  <si>
    <t>ACC 201</t>
  </si>
  <si>
    <t>survivekentucky.com</t>
  </si>
  <si>
    <t>/go/kentucky</t>
  </si>
  <si>
    <t>surviveuky.com is also available.</t>
  </si>
  <si>
    <t>Mizzou</t>
  </si>
  <si>
    <t>ACCTCY 2026</t>
  </si>
  <si>
    <t>survivemizzou.com</t>
  </si>
  <si>
    <t>/go/mizzou</t>
  </si>
  <si>
    <t>survivemissouri.com is also available.</t>
  </si>
  <si>
    <t>Mississippi State</t>
  </si>
  <si>
    <t>ACC 2013</t>
  </si>
  <si>
    <t>survivemsstate.com</t>
  </si>
  <si>
    <t>/go/mississippi-state</t>
  </si>
  <si>
    <t>survivemississippistate.com is available too, but long to say out loud.</t>
  </si>
  <si>
    <t>Oklahoma</t>
  </si>
  <si>
    <t>ACCT 2113</t>
  </si>
  <si>
    <t>surviveoklahoma.com</t>
  </si>
  <si>
    <t>/go/oklahoma</t>
  </si>
  <si>
    <t>South Carolina</t>
  </si>
  <si>
    <t>ACCT 225</t>
  </si>
  <si>
    <t>survivesouthcarolina.com</t>
  </si>
  <si>
    <t>/go/south-carolina</t>
  </si>
  <si>
    <t>surviveuofsc.com is also available and shorter to say.</t>
  </si>
  <si>
    <t>Texas</t>
  </si>
  <si>
    <t>ACC 311</t>
  </si>
  <si>
    <t>survivetexas.com</t>
  </si>
  <si>
    <t>/go/texas</t>
  </si>
  <si>
    <t>Texas A&amp;M</t>
  </si>
  <si>
    <t>ACCT 229</t>
  </si>
  <si>
    <t>survivetamu.com</t>
  </si>
  <si>
    <t>/go/texas-aandm</t>
  </si>
  <si>
    <t>survivetexasam.com is also available.</t>
  </si>
  <si>
    <t>Vanderbilt</t>
  </si>
  <si>
    <t>BUS 1100</t>
  </si>
  <si>
    <t>survivevanderbilt.com</t>
  </si>
  <si>
    <t>/go/vanderbilt</t>
  </si>
  <si>
    <t>survivevandy.com is also available.</t>
  </si>
  <si>
    <t>Marked to buy</t>
  </si>
  <si>
    <t>First-year cost of what you mark</t>
  </si>
  <si>
    <t>If you bought every row</t>
  </si>
  <si>
    <t>How they work: each domain is a redirect to the campus page on surviveaccounting.com carrying a ref tag, so the growth dashboard shows whether anyone types it. Accounts, sign-in and the course stay on surviveaccounting.com. Any of these can later render a real campus front page from the same app, without moving the app or the login.</t>
  </si>
  <si>
    <t>Trademark note: plain campus names are the safe end. Mascot domains (Rebels, Aggies, Dawgs) are all available but are the riskiest to hold, so they are deliberately not on this list.</t>
  </si>
  <si>
    <t>Where one course code covers a whole state</t>
  </si>
  <si>
    <t>Florida was not a fluke. Texas, Florida and Georgia each run a statewide course-numbering system, which is why one code repeats across their campuses. Counts are from our campus table on 2026-09-04, over the 294 campuses that have an intro-1 code recorded. Availability from the .com registry, same day.</t>
  </si>
  <si>
    <t>A = buy the blanket domain and build a cluster front door.   B = real cluster, smaller, worth the $11.   C = knowledge only, no domain play.</t>
  </si>
  <si>
    <t>State / system</t>
  </si>
  <si>
    <t>Shared code</t>
  </si>
  <si>
    <t>How many campuses</t>
  </si>
  <si>
    <t>Blanket domain</t>
  </si>
  <si>
    <t>Registry status</t>
  </si>
  <si>
    <t>Why it clusters</t>
  </si>
  <si>
    <t>Alternatives</t>
  </si>
  <si>
    <t>A</t>
  </si>
  <si>
    <t>ACCT 2301</t>
  </si>
  <si>
    <t>15 campuses (56% of the coded Texas campuses)</t>
  </si>
  <si>
    <t>TEXAS IS THE BIG ONE. Texas has a legislated statewide course numbering system, so ACCT 2301 is the same course number at UT Arlington, UT Dallas, UT El Paso, UTRGV, Houston, Houston-Clear Lake, North Texas Dallas, SMU, Sam Houston, Stephen F. Austin, Lamar, Angelo State, East Texas A&amp;M, Dallas Baptist and St. Thomas. Caveat: the two flagships opt out - UT Austin is ACC 311 and Texas A&amp;M is ACCT 229 - so the blanket covers the long tail, not Austin or College Station.</t>
  </si>
  <si>
    <t>surviveacct2301.com is available too and is the more literal version of the pitch.</t>
  </si>
  <si>
    <t>Florida</t>
  </si>
  <si>
    <t>8 campuses (73% of the coded Florida campuses)</t>
  </si>
  <si>
    <t>Florida's statewide course numbering does the same job, and here the flagships DO play: UF, FSU, UCF, USF, FIU, FAU, FGCU and Seminole State all sit on ACG 2021. This is the cleanest cluster of the three - highest coverage, no flagship exceptions.</t>
  </si>
  <si>
    <t>surviveacg2021.com is available.</t>
  </si>
  <si>
    <t>7 campuses (78% of the coded Georgia campuses)</t>
  </si>
  <si>
    <t>available - but see note</t>
  </si>
  <si>
    <t>Highest single-code share in the country - the University System of Georgia core numbering. UGA, Georgia Tech, Georgia State, Kennesaw State, West Georgia, Albany State and Savannah State. Georgia State and Kennesaw alone are enormous intro-accounting populations.</t>
  </si>
  <si>
    <t>survivegeorgia.com is REGISTERED to someone else, which is the one thing blocking a perfect blanket here. surviveacct2101.com is available as the code-based alternative.</t>
  </si>
  <si>
    <t>B</t>
  </si>
  <si>
    <t>Pennsylvania</t>
  </si>
  <si>
    <t>ACCTG 211</t>
  </si>
  <si>
    <t>6 campuses</t>
  </si>
  <si>
    <t>survivepennstate.com</t>
  </si>
  <si>
    <t>Not a state system - this is Penn State's own campus network (University Park plus Abington, Berks, Brandywine, New Kensington, York). Same course, same materials, one brand. Smaller than the three above but very tight.</t>
  </si>
  <si>
    <t>survivepsu.com is available and shorter.</t>
  </si>
  <si>
    <t>Indiana</t>
  </si>
  <si>
    <t>BUS-A 201</t>
  </si>
  <si>
    <t>4 campuses</t>
  </si>
  <si>
    <t>surviveindiana.com</t>
  </si>
  <si>
    <t>Same pattern as Penn State: Indiana University's own campuses (Bloomington, Indianapolis, Northwest, Southeast) share BUS-A 201. Kelley is a serious accounting school, so the students are dense even if the campus count is small.</t>
  </si>
  <si>
    <t>surviveiu.com is available.</t>
  </si>
  <si>
    <t>C</t>
  </si>
  <si>
    <t>(national)</t>
  </si>
  <si>
    <t>ACCT 201</t>
  </si>
  <si>
    <t>19 campuses across 18 states</t>
  </si>
  <si>
    <t>-</t>
  </si>
  <si>
    <t>n/a</t>
  </si>
  <si>
    <t>The most common intro code in the country, but it is scattered - one campus here, one there. There is no cluster to front and no state to name, so it is not a domain play. Worth knowing only because it means a set built for 'ACCT 201' reads as native on a lot of campuses.</t>
  </si>
  <si>
    <t>Same story for ACC 201 (10 campuses, 9 states).</t>
  </si>
  <si>
    <t>Oregon</t>
  </si>
  <si>
    <t>BA 211Z</t>
  </si>
  <si>
    <t>2 campuses</t>
  </si>
  <si>
    <t>surviveoregon.com</t>
  </si>
  <si>
    <t>not checked</t>
  </si>
  <si>
    <t>Oregon runs a statewide common-numbering scheme too (the Z suffix is the tell), so it should behave like Texas at scale - but only 3 Oregon campuses in the database have a code recorded. Re-check once more Oregon campuses are seeded.</t>
  </si>
  <si>
    <t>Flagged for later, not a fall buy.</t>
  </si>
  <si>
    <t>The headline: Texas + Florida + Georgia is 30 campuses reachable with three domains and three course codes. Those are the three states where one set of slides is literally the right course number for a whole state's worth of students - the same reason the Florida idea works.</t>
  </si>
  <si>
    <t>The caveat worth remembering: a shared NUMBER is not a shared SYLLABUS. Statewide numbering guarantees the credit transfers, not that UF and FGCU cover the same chapters in the same week. Treat one code as one funnel and one set of exam-shaped content, but expect per-campus exam banks to still differ.</t>
  </si>
  <si>
    <t>Coverage caveat: only 294 of the 617 campuses in the table have an intro-1 code recorded, so every count here is a floor, not a ceiling. Texas in particular is 15 of 27 coded out of 53 Texas campuses - as more get coded, that number should go up, not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</si>
</sst>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9" x14ac:knownFonts="1">
    <font>
      <color theme="1"/>
      <family val="2"/>
      <scheme val="minor"/>
      <sz val="11"/>
      <name val="Calibri"/>
    </font>
    <font>
      <b/>
      <color rgb="FF14213D"/>
      <sz val="14"/>
      <name val="Arial"/>
    </font>
    <font>
      <i/>
      <color rgb="FF555555"/>
      <sz val="9"/>
      <name val="Arial"/>
    </font>
    <font>
      <color rgb="FF0000FF"/>
      <sz val="9"/>
      <name val="Arial"/>
    </font>
    <font>
      <b/>
      <color rgb="FFF4EFE6"/>
      <sz val="10"/>
      <name val="Arial"/>
    </font>
    <font>
      <i/>
      <color rgb="FF000000"/>
      <sz val="10"/>
      <name val="Arial"/>
    </font>
    <font>
      <b/>
      <i/>
      <color rgb="FF1E7F4F"/>
      <sz val="10"/>
      <name val="Arial"/>
    </font>
    <font>
      <i/>
      <color rgb="FF0000FF"/>
      <sz val="10"/>
      <name val="Arial"/>
    </font>
    <font>
      <color rgb="FF000000"/>
      <sz val="10"/>
      <name val="Arial"/>
    </font>
    <font>
      <b/>
      <color rgb="FF1E7F4F"/>
      <sz val="10"/>
      <name val="Arial"/>
    </font>
    <font>
      <color rgb="FF0000FF"/>
      <sz val="10"/>
      <name val="Arial"/>
    </font>
    <font>
      <b/>
      <sz val="10"/>
      <name val="Arial"/>
    </font>
    <font>
      <sz val="10"/>
      <name val="Arial"/>
    </font>
    <font>
      <b/>
      <color rgb="FF000000"/>
      <sz val="10"/>
      <name val="Arial"/>
    </font>
    <font>
      <b/>
      <color rgb="FF555555"/>
      <sz val="10"/>
      <name val="Arial"/>
    </font>
    <font>
      <color rgb="FF555555"/>
      <sz val="10"/>
      <name val="Arial"/>
    </font>
    <font>
      <color rgb="FF888888"/>
      <sz val="10"/>
      <name val="Arial"/>
    </font>
    <font>
      <b/>
      <color rgb="FF14213D"/>
      <sz val="10"/>
      <name val="Arial"/>
    </font>
    <font>
      <i/>
      <color rgb="FFB00020"/>
      <sz val="9"/>
      <name val="Arial"/>
    </font>
  </fonts>
  <fills count="4">
    <fill>
      <patternFill patternType="none"/>
    </fill>
    <fill>
      <patternFill patternType="gray125"/>
    </fill>
    <fill>
      <patternFill patternType="solid">
        <fgColor rgb="FF14213D"/>
      </patternFill>
    </fill>
    <fill>
      <patternFill patternType="solid">
        <f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center" wrapText="1"/>
    </xf>
    <xf numFmtId="0" fontId="5" fillId="0" borderId="1" xfId="0" applyFont="1" applyBorder="1" applyAlignment="1">
      <alignment vertical="top"/>
    </xf>
    <xf numFmtId="0" fontId="6" fillId="0" borderId="1" xfId="0" applyFont="1" applyBorder="1" applyAlignment="1">
      <alignment vertical="top"/>
    </xf>
    <xf numFmtId="0" fontId="7" fillId="3" borderId="1" xfId="0" applyFont="1" applyFill="1" applyBorder="1" applyAlignment="1">
      <alignment vertical="top"/>
    </xf>
    <xf numFmtId="164" fontId="7" fillId="3" borderId="1" xfId="0" applyNumberFormat="1" applyFont="1" applyFill="1" applyBorder="1" applyAlignment="1">
      <alignment vertical="top"/>
    </xf>
    <xf numFmtId="0" fontId="5" fillId="0" borderId="1" xfId="0" applyFont="1" applyBorder="1" applyAlignment="1">
      <alignment vertical="top" wrapText="1"/>
    </xf>
    <xf numFmtId="0" fontId="8" fillId="0" borderId="1" xfId="0" applyFont="1" applyBorder="1" applyAlignment="1">
      <alignment vertical="top"/>
    </xf>
    <xf numFmtId="0" fontId="9" fillId="0" borderId="1" xfId="0" applyFont="1" applyBorder="1" applyAlignment="1">
      <alignment vertical="top"/>
    </xf>
    <xf numFmtId="0" fontId="10" fillId="3" borderId="1" xfId="0" applyFont="1" applyFill="1" applyBorder="1" applyAlignment="1">
      <alignment vertical="top"/>
    </xf>
    <xf numFmtId="164" fontId="10" fillId="3" borderId="1" xfId="0" applyNumberFormat="1" applyFont="1" applyFill="1" applyBorder="1" applyAlignment="1">
      <alignment vertical="top"/>
    </xf>
    <xf numFmtId="0" fontId="8" fillId="0" borderId="1" xfId="0" applyFont="1" applyBorder="1" applyAlignment="1">
      <alignment vertical="top" wrapText="1"/>
    </xf>
    <xf numFmtId="0" fontId="11" fillId="0" borderId="0" xfId="0" applyFont="1"/>
    <xf numFmtId="164" fontId="11" fillId="0" borderId="0" xfId="0" applyNumberFormat="1" applyFont="1"/>
    <xf numFmtId="0" fontId="12" fillId="0" borderId="0" xfId="0" applyFont="1"/>
    <xf numFmtId="164" fontId="12" fillId="0" borderId="0" xfId="0" applyNumberFormat="1" applyFont="1"/>
    <xf numFmtId="0" fontId="13" fillId="0" borderId="1" xfId="0" applyFont="1" applyBorder="1" applyAlignment="1">
      <alignment vertical="top"/>
    </xf>
    <xf numFmtId="0" fontId="9" fillId="0" borderId="1" xfId="0" applyFont="1" applyBorder="1" applyAlignment="1">
      <alignment vertical="top" wrapText="1"/>
    </xf>
    <xf numFmtId="0" fontId="10" fillId="3" borderId="1" xfId="0" applyFont="1" applyFill="1" applyBorder="1" applyAlignment="1">
      <alignment vertical="top" wrapText="1"/>
    </xf>
    <xf numFmtId="0" fontId="14" fillId="0" borderId="1" xfId="0" applyFont="1" applyBorder="1" applyAlignment="1">
      <alignment vertical="top"/>
    </xf>
    <xf numFmtId="0" fontId="15" fillId="0" borderId="1" xfId="0" applyFont="1" applyBorder="1" applyAlignment="1">
      <alignment vertical="top"/>
    </xf>
    <xf numFmtId="0" fontId="15" fillId="0" borderId="1" xfId="0" applyFont="1" applyBorder="1" applyAlignment="1">
      <alignment vertical="top" wrapText="1"/>
    </xf>
    <xf numFmtId="0" fontId="16" fillId="0" borderId="1" xfId="0" applyFont="1" applyBorder="1" applyAlignment="1">
      <alignment vertical="top" wrapText="1"/>
    </xf>
    <xf numFmtId="0" fontId="17" fillId="0" borderId="0" xfId="0" applyFont="1"/>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zoomScale="100" zoomScaleNormal="100">
      <pane ySplit="5" topLeftCell="A6" activePane="bottomLeft" state="frozen"/>
      <selection pane="bottomLeft"/>
    </sheetView>
  </sheetViews>
  <sheetFormatPr defaultRowHeight="15" outlineLevelRow="0" outlineLevelCol="0" x14ac:dyDescent="55"/>
  <cols>
    <col min="2" max="2" width="20" customWidth="1"/>
    <col min="3" max="3" width="24" customWidth="1"/>
    <col min="4" max="4" width="13" customWidth="1"/>
    <col min="5" max="5" width="28" customWidth="1"/>
    <col min="6" max="6" width="24" customWidth="1"/>
    <col min="7" max="7" width="38" customWidth="1"/>
    <col min="8" max="8" width="8" customWidth="1"/>
    <col min="9" max="9" width="12" customWidth="1"/>
    <col min="10" max="10" width="64" customWidth="1"/>
  </cols>
  <sheetData>
    <row r="1" spans="1:1" x14ac:dyDescent="0.25">
      <c r="A1" s="1" t="s">
        <v>0</v>
      </c>
    </row>
    <row r="2" spans="1:1" x14ac:dyDescent="0.25">
      <c r="A2" s="2" t="s">
        <v>1</v>
      </c>
    </row>
    <row r="3" spans="1:1" x14ac:dyDescent="0.25">
      <c r="A3" s="3" t="s">
        <v>2</v>
      </c>
    </row>
    <row r="5" spans="1:10" x14ac:dyDescent="0.25">
      <c r="A5" s="4" t="s">
        <v>3</v>
      </c>
      <c r="B5" s="4" t="s">
        <v>4</v>
      </c>
      <c r="C5" s="4" t="s">
        <v>5</v>
      </c>
      <c r="D5" s="4" t="s">
        <v>6</v>
      </c>
      <c r="E5" s="4" t="s">
        <v>7</v>
      </c>
      <c r="F5" s="4" t="s">
        <v>8</v>
      </c>
      <c r="G5" s="4" t="s">
        <v>9</v>
      </c>
      <c r="H5" s="4" t="s">
        <v>10</v>
      </c>
      <c r="I5" s="4" t="s">
        <v>11</v>
      </c>
      <c r="J5" s="4" t="s">
        <v>12</v>
      </c>
    </row>
    <row r="6" spans="1:10" x14ac:dyDescent="0.25">
      <c r="A6" s="5" t="s">
        <v>13</v>
      </c>
      <c r="B6" s="5" t="s">
        <v>14</v>
      </c>
      <c r="C6" s="5" t="s">
        <v>15</v>
      </c>
      <c r="D6" s="5" t="s">
        <v>16</v>
      </c>
      <c r="E6" s="5" t="s">
        <v>17</v>
      </c>
      <c r="F6" s="6" t="s">
        <v>18</v>
      </c>
      <c r="G6" s="5" t="s">
        <v>19</v>
      </c>
      <c r="H6" s="7" t="s">
        <v>20</v>
      </c>
      <c r="I6" s="8">
        <v>11</v>
      </c>
      <c r="J6" s="9" t="s">
        <v>21</v>
      </c>
    </row>
    <row r="7" spans="1:10" x14ac:dyDescent="0.25">
      <c r="A7" s="10">
        <v>1</v>
      </c>
      <c r="B7" s="10" t="s">
        <v>14</v>
      </c>
      <c r="C7" s="10" t="s">
        <v>22</v>
      </c>
      <c r="D7" s="10" t="s">
        <v>16</v>
      </c>
      <c r="E7" s="10" t="s">
        <v>23</v>
      </c>
      <c r="F7" s="11" t="s">
        <v>18</v>
      </c>
      <c r="G7" s="10" t="s">
        <v>24</v>
      </c>
      <c r="H7" s="12" t="s">
        <v>25</v>
      </c>
      <c r="I7" s="13">
        <v>11</v>
      </c>
      <c r="J7" s="14" t="s">
        <v>26</v>
      </c>
    </row>
    <row r="8" spans="1:10" x14ac:dyDescent="0.25">
      <c r="A8" s="10">
        <v>2</v>
      </c>
      <c r="B8" s="10" t="s">
        <v>14</v>
      </c>
      <c r="C8" s="10" t="s">
        <v>27</v>
      </c>
      <c r="D8" s="10" t="s">
        <v>28</v>
      </c>
      <c r="E8" s="10" t="s">
        <v>29</v>
      </c>
      <c r="F8" s="11" t="s">
        <v>18</v>
      </c>
      <c r="G8" s="10" t="s">
        <v>30</v>
      </c>
      <c r="H8" s="12" t="s">
        <v>25</v>
      </c>
      <c r="I8" s="13">
        <v>11</v>
      </c>
      <c r="J8" s="14" t="s">
        <v>31</v>
      </c>
    </row>
    <row r="9" spans="1:10" x14ac:dyDescent="0.25">
      <c r="A9" s="10">
        <v>3</v>
      </c>
      <c r="B9" s="10" t="s">
        <v>14</v>
      </c>
      <c r="C9" s="10" t="s">
        <v>32</v>
      </c>
      <c r="D9" s="10" t="s">
        <v>33</v>
      </c>
      <c r="E9" s="10" t="s">
        <v>34</v>
      </c>
      <c r="F9" s="11" t="s">
        <v>18</v>
      </c>
      <c r="G9" s="10" t="s">
        <v>35</v>
      </c>
      <c r="H9" s="12" t="s">
        <v>25</v>
      </c>
      <c r="I9" s="13">
        <v>11</v>
      </c>
      <c r="J9" s="14" t="s">
        <v>36</v>
      </c>
    </row>
    <row r="10" spans="1:10" x14ac:dyDescent="0.25">
      <c r="A10" s="10">
        <v>4</v>
      </c>
      <c r="B10" s="10" t="s">
        <v>14</v>
      </c>
      <c r="C10" s="10" t="s">
        <v>37</v>
      </c>
      <c r="D10" s="10" t="s">
        <v>38</v>
      </c>
      <c r="E10" s="10" t="s">
        <v>39</v>
      </c>
      <c r="F10" s="11" t="s">
        <v>18</v>
      </c>
      <c r="G10" s="10" t="s">
        <v>40</v>
      </c>
      <c r="H10" s="12" t="s">
        <v>25</v>
      </c>
      <c r="I10" s="13">
        <v>11</v>
      </c>
      <c r="J10" s="14" t="s">
        <v>41</v>
      </c>
    </row>
    <row r="11" spans="1:10" x14ac:dyDescent="0.25">
      <c r="A11" s="10">
        <v>5</v>
      </c>
      <c r="B11" s="10" t="s">
        <v>42</v>
      </c>
      <c r="C11" s="10" t="s">
        <v>43</v>
      </c>
      <c r="D11" s="10" t="s">
        <v>38</v>
      </c>
      <c r="E11" s="10" t="s">
        <v>44</v>
      </c>
      <c r="F11" s="11" t="s">
        <v>18</v>
      </c>
      <c r="G11" s="10" t="s">
        <v>40</v>
      </c>
      <c r="H11" s="12" t="s">
        <v>25</v>
      </c>
      <c r="I11" s="13">
        <v>11</v>
      </c>
      <c r="J11" s="14" t="s">
        <v>45</v>
      </c>
    </row>
    <row r="12" spans="1:10" x14ac:dyDescent="0.25">
      <c r="A12" s="10">
        <v>6</v>
      </c>
      <c r="B12" s="10" t="s">
        <v>42</v>
      </c>
      <c r="C12" s="10" t="s">
        <v>46</v>
      </c>
      <c r="D12" s="10" t="s">
        <v>38</v>
      </c>
      <c r="E12" s="10" t="s">
        <v>47</v>
      </c>
      <c r="F12" s="11" t="s">
        <v>18</v>
      </c>
      <c r="G12" s="10" t="s">
        <v>48</v>
      </c>
      <c r="H12" s="12" t="s">
        <v>25</v>
      </c>
      <c r="I12" s="13">
        <v>11</v>
      </c>
      <c r="J12" s="14" t="s">
        <v>45</v>
      </c>
    </row>
    <row r="13" spans="1:10" x14ac:dyDescent="0.25">
      <c r="A13" s="10">
        <v>7</v>
      </c>
      <c r="B13" s="10" t="s">
        <v>42</v>
      </c>
      <c r="C13" s="10" t="s">
        <v>49</v>
      </c>
      <c r="D13" s="10" t="s">
        <v>38</v>
      </c>
      <c r="E13" s="10" t="s">
        <v>50</v>
      </c>
      <c r="F13" s="11" t="s">
        <v>18</v>
      </c>
      <c r="G13" s="10" t="s">
        <v>51</v>
      </c>
      <c r="H13" s="12" t="s">
        <v>25</v>
      </c>
      <c r="I13" s="13">
        <v>11</v>
      </c>
      <c r="J13" s="14" t="s">
        <v>45</v>
      </c>
    </row>
    <row r="14" spans="1:10" x14ac:dyDescent="0.25">
      <c r="A14" s="10">
        <v>8</v>
      </c>
      <c r="B14" s="10" t="s">
        <v>42</v>
      </c>
      <c r="C14" s="10" t="s">
        <v>52</v>
      </c>
      <c r="D14" s="10" t="s">
        <v>38</v>
      </c>
      <c r="E14" s="10" t="s">
        <v>53</v>
      </c>
      <c r="F14" s="11" t="s">
        <v>18</v>
      </c>
      <c r="G14" s="10" t="s">
        <v>54</v>
      </c>
      <c r="H14" s="12" t="s">
        <v>25</v>
      </c>
      <c r="I14" s="13">
        <v>11</v>
      </c>
      <c r="J14" s="14" t="s">
        <v>45</v>
      </c>
    </row>
    <row r="15" spans="1:10" x14ac:dyDescent="0.25">
      <c r="A15" s="10">
        <v>9</v>
      </c>
      <c r="B15" s="10" t="s">
        <v>42</v>
      </c>
      <c r="C15" s="10" t="s">
        <v>55</v>
      </c>
      <c r="D15" s="10" t="s">
        <v>38</v>
      </c>
      <c r="E15" s="10" t="s">
        <v>56</v>
      </c>
      <c r="F15" s="11" t="s">
        <v>18</v>
      </c>
      <c r="G15" s="10" t="s">
        <v>57</v>
      </c>
      <c r="H15" s="12" t="s">
        <v>25</v>
      </c>
      <c r="I15" s="13">
        <v>11</v>
      </c>
      <c r="J15" s="14" t="s">
        <v>45</v>
      </c>
    </row>
    <row r="16" spans="1:10" x14ac:dyDescent="0.25">
      <c r="A16" s="10">
        <v>10</v>
      </c>
      <c r="B16" s="10" t="s">
        <v>42</v>
      </c>
      <c r="C16" s="10" t="s">
        <v>58</v>
      </c>
      <c r="D16" s="10" t="s">
        <v>38</v>
      </c>
      <c r="E16" s="10" t="s">
        <v>59</v>
      </c>
      <c r="F16" s="11" t="s">
        <v>18</v>
      </c>
      <c r="G16" s="10" t="s">
        <v>60</v>
      </c>
      <c r="H16" s="12" t="s">
        <v>25</v>
      </c>
      <c r="I16" s="13">
        <v>11</v>
      </c>
      <c r="J16" s="14" t="s">
        <v>45</v>
      </c>
    </row>
    <row r="17" spans="1:10" x14ac:dyDescent="0.25">
      <c r="A17" s="10">
        <v>11</v>
      </c>
      <c r="B17" s="10" t="s">
        <v>42</v>
      </c>
      <c r="C17" s="10" t="s">
        <v>61</v>
      </c>
      <c r="D17" s="10" t="s">
        <v>38</v>
      </c>
      <c r="E17" s="10" t="s">
        <v>62</v>
      </c>
      <c r="F17" s="11" t="s">
        <v>18</v>
      </c>
      <c r="G17" s="10" t="s">
        <v>63</v>
      </c>
      <c r="H17" s="12" t="s">
        <v>25</v>
      </c>
      <c r="I17" s="13">
        <v>11</v>
      </c>
      <c r="J17" s="14" t="s">
        <v>45</v>
      </c>
    </row>
    <row r="18" spans="1:10" x14ac:dyDescent="0.25">
      <c r="A18" s="10">
        <v>12</v>
      </c>
      <c r="B18" s="10" t="s">
        <v>64</v>
      </c>
      <c r="C18" s="10" t="s">
        <v>65</v>
      </c>
      <c r="D18" s="10" t="s">
        <v>66</v>
      </c>
      <c r="E18" s="10" t="s">
        <v>67</v>
      </c>
      <c r="F18" s="11" t="s">
        <v>18</v>
      </c>
      <c r="G18" s="10" t="s">
        <v>68</v>
      </c>
      <c r="H18" s="12" t="s">
        <v>25</v>
      </c>
      <c r="I18" s="13">
        <v>11</v>
      </c>
      <c r="J18" s="14" t="s">
        <v>69</v>
      </c>
    </row>
    <row r="19" spans="1:10" x14ac:dyDescent="0.25">
      <c r="A19" s="10">
        <v>13</v>
      </c>
      <c r="B19" s="10" t="s">
        <v>64</v>
      </c>
      <c r="C19" s="10" t="s">
        <v>70</v>
      </c>
      <c r="D19" s="10" t="s">
        <v>71</v>
      </c>
      <c r="E19" s="10" t="s">
        <v>72</v>
      </c>
      <c r="F19" s="11" t="s">
        <v>18</v>
      </c>
      <c r="G19" s="10" t="s">
        <v>73</v>
      </c>
      <c r="H19" s="12" t="s">
        <v>25</v>
      </c>
      <c r="I19" s="13">
        <v>11</v>
      </c>
      <c r="J19" s="14" t="s">
        <v>74</v>
      </c>
    </row>
    <row r="20" spans="1:10" x14ac:dyDescent="0.25">
      <c r="A20" s="10">
        <v>14</v>
      </c>
      <c r="B20" s="10" t="s">
        <v>64</v>
      </c>
      <c r="C20" s="10" t="s">
        <v>75</v>
      </c>
      <c r="D20" s="10" t="s">
        <v>76</v>
      </c>
      <c r="E20" s="10" t="s">
        <v>77</v>
      </c>
      <c r="F20" s="11" t="s">
        <v>18</v>
      </c>
      <c r="G20" s="10" t="s">
        <v>78</v>
      </c>
      <c r="H20" s="12" t="s">
        <v>25</v>
      </c>
      <c r="I20" s="13">
        <v>11</v>
      </c>
      <c r="J20" s="14" t="s">
        <v>79</v>
      </c>
    </row>
    <row r="21" spans="1:10" x14ac:dyDescent="0.25">
      <c r="A21" s="10">
        <v>15</v>
      </c>
      <c r="B21" s="10" t="s">
        <v>64</v>
      </c>
      <c r="C21" s="10" t="s">
        <v>80</v>
      </c>
      <c r="D21" s="10" t="s">
        <v>81</v>
      </c>
      <c r="E21" s="10" t="s">
        <v>82</v>
      </c>
      <c r="F21" s="11" t="s">
        <v>18</v>
      </c>
      <c r="G21" s="10" t="s">
        <v>83</v>
      </c>
      <c r="H21" s="12" t="s">
        <v>25</v>
      </c>
      <c r="I21" s="13">
        <v>11</v>
      </c>
      <c r="J21" s="14" t="s">
        <v>84</v>
      </c>
    </row>
    <row r="22" spans="1:10" x14ac:dyDescent="0.25">
      <c r="A22" s="10">
        <v>16</v>
      </c>
      <c r="B22" s="10" t="s">
        <v>64</v>
      </c>
      <c r="C22" s="10" t="s">
        <v>85</v>
      </c>
      <c r="D22" s="10" t="s">
        <v>86</v>
      </c>
      <c r="E22" s="10" t="s">
        <v>87</v>
      </c>
      <c r="F22" s="11" t="s">
        <v>18</v>
      </c>
      <c r="G22" s="10" t="s">
        <v>88</v>
      </c>
      <c r="H22" s="12" t="s">
        <v>25</v>
      </c>
      <c r="I22" s="13">
        <v>11</v>
      </c>
      <c r="J22" s="14" t="s">
        <v>89</v>
      </c>
    </row>
    <row r="23" spans="1:10" x14ac:dyDescent="0.25">
      <c r="A23" s="10">
        <v>17</v>
      </c>
      <c r="B23" s="10" t="s">
        <v>64</v>
      </c>
      <c r="C23" s="10" t="s">
        <v>90</v>
      </c>
      <c r="D23" s="10" t="s">
        <v>91</v>
      </c>
      <c r="E23" s="10" t="s">
        <v>92</v>
      </c>
      <c r="F23" s="11" t="s">
        <v>18</v>
      </c>
      <c r="G23" s="10" t="s">
        <v>93</v>
      </c>
      <c r="H23" s="12" t="s">
        <v>25</v>
      </c>
      <c r="I23" s="13">
        <v>11</v>
      </c>
      <c r="J23" s="14" t="s">
        <v>94</v>
      </c>
    </row>
    <row r="24" spans="1:10" x14ac:dyDescent="0.25">
      <c r="A24" s="10">
        <v>18</v>
      </c>
      <c r="B24" s="10" t="s">
        <v>64</v>
      </c>
      <c r="C24" s="10" t="s">
        <v>95</v>
      </c>
      <c r="D24" s="10" t="s">
        <v>96</v>
      </c>
      <c r="E24" s="10" t="s">
        <v>97</v>
      </c>
      <c r="F24" s="11" t="s">
        <v>18</v>
      </c>
      <c r="G24" s="10" t="s">
        <v>98</v>
      </c>
      <c r="H24" s="12" t="s">
        <v>25</v>
      </c>
      <c r="I24" s="13">
        <v>11</v>
      </c>
      <c r="J24" s="14" t="s">
        <v>99</v>
      </c>
    </row>
    <row r="25" spans="1:10" x14ac:dyDescent="0.25">
      <c r="A25" s="10">
        <v>19</v>
      </c>
      <c r="B25" s="10" t="s">
        <v>64</v>
      </c>
      <c r="C25" s="10" t="s">
        <v>100</v>
      </c>
      <c r="D25" s="10" t="s">
        <v>101</v>
      </c>
      <c r="E25" s="10" t="s">
        <v>102</v>
      </c>
      <c r="F25" s="11" t="s">
        <v>18</v>
      </c>
      <c r="G25" s="10" t="s">
        <v>103</v>
      </c>
      <c r="H25" s="12" t="s">
        <v>25</v>
      </c>
      <c r="I25" s="13">
        <v>11</v>
      </c>
      <c r="J25" s="14" t="s">
        <v>25</v>
      </c>
    </row>
    <row r="26" spans="1:10" x14ac:dyDescent="0.25">
      <c r="A26" s="10">
        <v>20</v>
      </c>
      <c r="B26" s="10" t="s">
        <v>64</v>
      </c>
      <c r="C26" s="10" t="s">
        <v>104</v>
      </c>
      <c r="D26" s="10" t="s">
        <v>105</v>
      </c>
      <c r="E26" s="10" t="s">
        <v>106</v>
      </c>
      <c r="F26" s="11" t="s">
        <v>18</v>
      </c>
      <c r="G26" s="10" t="s">
        <v>107</v>
      </c>
      <c r="H26" s="12" t="s">
        <v>25</v>
      </c>
      <c r="I26" s="13">
        <v>11</v>
      </c>
      <c r="J26" s="14" t="s">
        <v>108</v>
      </c>
    </row>
    <row r="27" spans="1:10" x14ac:dyDescent="0.25">
      <c r="A27" s="10">
        <v>21</v>
      </c>
      <c r="B27" s="10" t="s">
        <v>64</v>
      </c>
      <c r="C27" s="10" t="s">
        <v>109</v>
      </c>
      <c r="D27" s="10" t="s">
        <v>110</v>
      </c>
      <c r="E27" s="10" t="s">
        <v>111</v>
      </c>
      <c r="F27" s="11" t="s">
        <v>18</v>
      </c>
      <c r="G27" s="10" t="s">
        <v>112</v>
      </c>
      <c r="H27" s="12" t="s">
        <v>25</v>
      </c>
      <c r="I27" s="13">
        <v>11</v>
      </c>
      <c r="J27" s="14" t="s">
        <v>25</v>
      </c>
    </row>
    <row r="28" spans="1:10" x14ac:dyDescent="0.25">
      <c r="A28" s="10">
        <v>22</v>
      </c>
      <c r="B28" s="10" t="s">
        <v>64</v>
      </c>
      <c r="C28" s="10" t="s">
        <v>113</v>
      </c>
      <c r="D28" s="10" t="s">
        <v>114</v>
      </c>
      <c r="E28" s="10" t="s">
        <v>115</v>
      </c>
      <c r="F28" s="11" t="s">
        <v>18</v>
      </c>
      <c r="G28" s="10" t="s">
        <v>116</v>
      </c>
      <c r="H28" s="12" t="s">
        <v>25</v>
      </c>
      <c r="I28" s="13">
        <v>11</v>
      </c>
      <c r="J28" s="14" t="s">
        <v>117</v>
      </c>
    </row>
    <row r="29" spans="1:10" x14ac:dyDescent="0.25">
      <c r="A29" s="10">
        <v>23</v>
      </c>
      <c r="B29" s="10" t="s">
        <v>64</v>
      </c>
      <c r="C29" s="10" t="s">
        <v>118</v>
      </c>
      <c r="D29" s="10" t="s">
        <v>119</v>
      </c>
      <c r="E29" s="10" t="s">
        <v>120</v>
      </c>
      <c r="F29" s="11" t="s">
        <v>18</v>
      </c>
      <c r="G29" s="10" t="s">
        <v>121</v>
      </c>
      <c r="H29" s="12" t="s">
        <v>25</v>
      </c>
      <c r="I29" s="13">
        <v>11</v>
      </c>
      <c r="J29" s="14" t="s">
        <v>122</v>
      </c>
    </row>
    <row r="31" spans="3:8" x14ac:dyDescent="0.25">
      <c r="C31" s="15" t="s">
        <v>123</v>
      </c>
      <c r="H31" s="15">
        <f>COUNTIF(H7:H29,"yes")</f>
        <v>0</v>
      </c>
    </row>
    <row r="32" spans="3:9" x14ac:dyDescent="0.25">
      <c r="C32" s="15" t="s">
        <v>124</v>
      </c>
      <c r="I32" s="16">
        <f>SUMIF(H7:H29,"yes",I7:I29)</f>
        <v>0</v>
      </c>
    </row>
    <row r="33" spans="3:9" x14ac:dyDescent="0.25">
      <c r="C33" s="17" t="s">
        <v>125</v>
      </c>
      <c r="I33" s="18">
        <f>SUM(I7:I29)</f>
        <v>253</v>
      </c>
    </row>
    <row r="35" spans="1:1" x14ac:dyDescent="0.25">
      <c r="A35" s="2" t="s">
        <v>126</v>
      </c>
    </row>
    <row r="36" spans="1:1" x14ac:dyDescent="0.25">
      <c r="A36" s="2" t="s">
        <v>127</v>
      </c>
    </row>
  </sheetData>
  <autoFilter ref="A5:J29"/>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5" topLeftCell="A6" activePane="bottomLeft" state="frozen"/>
      <selection pane="bottomLeft"/>
    </sheetView>
  </sheetViews>
  <sheetFormatPr defaultRowHeight="15" outlineLevelRow="0" outlineLevelCol="0" x14ac:dyDescent="55"/>
  <cols>
    <col min="1" max="1" width="7" customWidth="1"/>
    <col min="2" max="2" width="18" customWidth="1"/>
    <col min="3" max="3" width="14" customWidth="1"/>
    <col min="4" max="4" width="22" customWidth="1"/>
    <col min="5" max="5" width="24" customWidth="1"/>
    <col min="6" max="6" width="20" customWidth="1"/>
    <col min="7" max="7" width="8" customWidth="1"/>
    <col min="8" max="8" width="78" customWidth="1"/>
    <col min="9" max="9" width="52" customWidth="1"/>
  </cols>
  <sheetData>
    <row r="1" spans="1:1" x14ac:dyDescent="0.25">
      <c r="A1" s="1" t="s">
        <v>128</v>
      </c>
    </row>
    <row r="2" spans="1:1" x14ac:dyDescent="0.25">
      <c r="A2" s="2" t="s">
        <v>129</v>
      </c>
    </row>
    <row r="3" spans="1:1" x14ac:dyDescent="0.25">
      <c r="A3" s="3" t="s">
        <v>130</v>
      </c>
    </row>
    <row r="5" spans="1:9" x14ac:dyDescent="0.25">
      <c r="A5" s="4" t="s">
        <v>4</v>
      </c>
      <c r="B5" s="4" t="s">
        <v>131</v>
      </c>
      <c r="C5" s="4" t="s">
        <v>132</v>
      </c>
      <c r="D5" s="4" t="s">
        <v>133</v>
      </c>
      <c r="E5" s="4" t="s">
        <v>134</v>
      </c>
      <c r="F5" s="4" t="s">
        <v>135</v>
      </c>
      <c r="G5" s="4" t="s">
        <v>10</v>
      </c>
      <c r="H5" s="4" t="s">
        <v>136</v>
      </c>
      <c r="I5" s="4" t="s">
        <v>137</v>
      </c>
    </row>
    <row r="6" spans="1:9" x14ac:dyDescent="0.25">
      <c r="A6" s="19" t="s">
        <v>138</v>
      </c>
      <c r="B6" s="10" t="s">
        <v>109</v>
      </c>
      <c r="C6" s="10" t="s">
        <v>139</v>
      </c>
      <c r="D6" s="14" t="s">
        <v>140</v>
      </c>
      <c r="E6" s="14" t="s">
        <v>111</v>
      </c>
      <c r="F6" s="20" t="s">
        <v>18</v>
      </c>
      <c r="G6" s="21" t="s">
        <v>25</v>
      </c>
      <c r="H6" s="14" t="s">
        <v>141</v>
      </c>
      <c r="I6" s="14" t="s">
        <v>142</v>
      </c>
    </row>
    <row r="7" spans="1:9" x14ac:dyDescent="0.25">
      <c r="A7" s="19" t="s">
        <v>138</v>
      </c>
      <c r="B7" s="10" t="s">
        <v>143</v>
      </c>
      <c r="C7" s="10" t="s">
        <v>38</v>
      </c>
      <c r="D7" s="14" t="s">
        <v>144</v>
      </c>
      <c r="E7" s="14" t="s">
        <v>39</v>
      </c>
      <c r="F7" s="20" t="s">
        <v>18</v>
      </c>
      <c r="G7" s="21" t="s">
        <v>25</v>
      </c>
      <c r="H7" s="14" t="s">
        <v>145</v>
      </c>
      <c r="I7" s="14" t="s">
        <v>146</v>
      </c>
    </row>
    <row r="8" spans="1:9" x14ac:dyDescent="0.25">
      <c r="A8" s="19" t="s">
        <v>138</v>
      </c>
      <c r="B8" s="10" t="s">
        <v>80</v>
      </c>
      <c r="C8" s="10" t="s">
        <v>81</v>
      </c>
      <c r="D8" s="14" t="s">
        <v>147</v>
      </c>
      <c r="E8" s="14" t="s">
        <v>82</v>
      </c>
      <c r="F8" s="20" t="s">
        <v>148</v>
      </c>
      <c r="G8" s="21" t="s">
        <v>25</v>
      </c>
      <c r="H8" s="14" t="s">
        <v>149</v>
      </c>
      <c r="I8" s="14" t="s">
        <v>150</v>
      </c>
    </row>
    <row r="9" spans="1:9" x14ac:dyDescent="0.25">
      <c r="A9" s="19" t="s">
        <v>151</v>
      </c>
      <c r="B9" s="10" t="s">
        <v>152</v>
      </c>
      <c r="C9" s="10" t="s">
        <v>153</v>
      </c>
      <c r="D9" s="14" t="s">
        <v>154</v>
      </c>
      <c r="E9" s="14" t="s">
        <v>155</v>
      </c>
      <c r="F9" s="20" t="s">
        <v>18</v>
      </c>
      <c r="G9" s="21" t="s">
        <v>25</v>
      </c>
      <c r="H9" s="14" t="s">
        <v>156</v>
      </c>
      <c r="I9" s="14" t="s">
        <v>157</v>
      </c>
    </row>
    <row r="10" spans="1:9" x14ac:dyDescent="0.25">
      <c r="A10" s="19" t="s">
        <v>151</v>
      </c>
      <c r="B10" s="10" t="s">
        <v>158</v>
      </c>
      <c r="C10" s="10" t="s">
        <v>159</v>
      </c>
      <c r="D10" s="14" t="s">
        <v>160</v>
      </c>
      <c r="E10" s="14" t="s">
        <v>161</v>
      </c>
      <c r="F10" s="20" t="s">
        <v>18</v>
      </c>
      <c r="G10" s="21" t="s">
        <v>25</v>
      </c>
      <c r="H10" s="14" t="s">
        <v>162</v>
      </c>
      <c r="I10" s="14" t="s">
        <v>163</v>
      </c>
    </row>
    <row r="11" spans="1:9" x14ac:dyDescent="0.25">
      <c r="A11" s="22" t="s">
        <v>164</v>
      </c>
      <c r="B11" s="23" t="s">
        <v>165</v>
      </c>
      <c r="C11" s="23" t="s">
        <v>166</v>
      </c>
      <c r="D11" s="24" t="s">
        <v>167</v>
      </c>
      <c r="E11" s="24" t="s">
        <v>168</v>
      </c>
      <c r="F11" s="25" t="s">
        <v>169</v>
      </c>
      <c r="G11" s="21" t="s">
        <v>25</v>
      </c>
      <c r="H11" s="24" t="s">
        <v>170</v>
      </c>
      <c r="I11" s="24" t="s">
        <v>171</v>
      </c>
    </row>
    <row r="12" spans="1:9" x14ac:dyDescent="0.25">
      <c r="A12" s="22" t="s">
        <v>164</v>
      </c>
      <c r="B12" s="23" t="s">
        <v>172</v>
      </c>
      <c r="C12" s="23" t="s">
        <v>173</v>
      </c>
      <c r="D12" s="24" t="s">
        <v>174</v>
      </c>
      <c r="E12" s="24" t="s">
        <v>175</v>
      </c>
      <c r="F12" s="24" t="s">
        <v>176</v>
      </c>
      <c r="G12" s="21" t="s">
        <v>25</v>
      </c>
      <c r="H12" s="24" t="s">
        <v>177</v>
      </c>
      <c r="I12" s="24" t="s">
        <v>178</v>
      </c>
    </row>
    <row r="14" spans="1:1" x14ac:dyDescent="0.25">
      <c r="A14" s="26" t="s">
        <v>179</v>
      </c>
    </row>
    <row r="15" spans="1:1" x14ac:dyDescent="0.25">
      <c r="A15" s="27" t="s">
        <v>180</v>
      </c>
    </row>
    <row r="16" spans="1:1" x14ac:dyDescent="0.25">
      <c r="A16" s="2" t="s">
        <v>181</v>
      </c>
    </row>
  </sheetData>
  <autoFilter ref="A5:I1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Domain buy list</vt:lpstr>
      <vt:lpstr>State clusters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Survive Accounting</dc:creator>
  <dc:title/>
  <dc:subject/>
  <dc:description/>
  <cp:keywords/>
  <cp:category/>
  <cp:lastModifiedBy>Unknown</cp:lastModifiedBy>
  <dcterms:created xsi:type="dcterms:W3CDTF">2026-09-04T22:34:51Z</dcterms:created>
  <dcterms:modified xsi:type="dcterms:W3CDTF">2026-09-04T22:34:51Z</dcterms:modified>
</cp:coreProperties>
</file>